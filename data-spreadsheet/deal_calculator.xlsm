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SHALLOW\Documents\R\study\misc-repos\macro-shell-example\data-spreadsheet\"/>
    </mc:Choice>
  </mc:AlternateContent>
  <xr:revisionPtr revIDLastSave="0" documentId="13_ncr:1_{9EF9ED5C-1463-43E8-94FA-CA47144E8DAB}" xr6:coauthVersionLast="46" xr6:coauthVersionMax="46" xr10:uidLastSave="{00000000-0000-0000-0000-000000000000}"/>
  <bookViews>
    <workbookView xWindow="-20370" yWindow="3750" windowWidth="11025" windowHeight="7140" xr2:uid="{00000000-000D-0000-FFFF-FFFF00000000}"/>
  </bookViews>
  <sheets>
    <sheet name="deal_calcs" sheetId="10" r:id="rId1"/>
  </sheets>
  <definedNames>
    <definedName name="ExternalData_1" localSheetId="0" hidden="1">deal_calcs!$A$1:$E$11</definedName>
    <definedName name="FilePath">deal_calcs!$L$1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0" l="1"/>
  <c r="F3" i="10"/>
  <c r="F4" i="10"/>
  <c r="F5" i="10"/>
  <c r="F6" i="10"/>
  <c r="F7" i="10"/>
  <c r="F8" i="10"/>
  <c r="F9" i="10"/>
  <c r="F10" i="10"/>
  <c r="F11" i="10"/>
  <c r="L1" i="10" a="1"/>
  <c r="L1" i="10" s="1"/>
  <c r="I2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CD75DF-013B-4613-8123-06433E3EF0AC}" keepAlive="1" name="Connection" type="5" refreshedVersion="0" background="1">
    <dbPr connection="Provider=Microsoft.Mashup.OleDb.1;Data Source=$Workbook$;Location=&quot;deal_example&quot;;Extended Properties=&quot;&quot;" commandType="0"/>
  </connection>
  <connection id="2" xr16:uid="{54749B77-DF3B-454D-8A3B-418810E133B8}" keepAlive="1" name="Connection1" type="5" refreshedVersion="0" background="1">
    <dbPr connection="Provider=Microsoft.Mashup.OleDb.1;Data Source=$Workbook$;Location=&quot;deal_example&quot;;Extended Properties=&quot;&quot;" commandType="0"/>
  </connection>
  <connection id="3" xr16:uid="{D4ADC1BA-BD8D-4288-8B16-6874817E4125}" keepAlive="1" name="Query - deal_example" description="Connection to the 'deal_example' query in the workbook." type="5" refreshedVersion="7" background="1" saveData="1">
    <dbPr connection="Provider=Microsoft.Mashup.OleDb.1;Data Source=$Workbook$;Location=deal_example;Extended Properties=&quot;&quot;" command="SELECT * FROM [deal_examp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<sst xmlns="http://schemas.openxmlformats.org/spreadsheetml/2006/main" count="20" uniqueCount="11">
  <si>
    <t>deal_id</t>
  </si>
  <si>
    <t>project_item</t>
  </si>
  <si>
    <t>years</t>
  </si>
  <si>
    <t>costs</t>
  </si>
  <si>
    <t>revenue</t>
  </si>
  <si>
    <t>discount rate:</t>
  </si>
  <si>
    <t>present_value</t>
  </si>
  <si>
    <t>deal present value:</t>
  </si>
  <si>
    <t>deal present value, copied from macro:</t>
  </si>
  <si>
    <t>filepath:</t>
  </si>
  <si>
    <t>589d2e04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</si>
</sst>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44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numFmt numFmtId="34" formatCode="_(&quot;$&quot;* #,##0.00_);_(&quot;$&quot;* \(#,##0.00\);_(&quot;$&quot;* &quot;-&quot;??_);_(@_)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639A37-20E6-4772-A92F-7BDBA5CF7C94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deal_id" tableColumnId="1"/>
      <queryTableField id="2" name="project_item" tableColumnId="2"/>
      <queryTableField id="3" name="years" tableColumnId="3"/>
      <queryTableField id="4" name="costs" tableColumnId="4"/>
      <queryTableField id="5" name="revenue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634657-EF7A-4A03-83CA-BE0710857DB6}" name="deal_example" displayName="deal_example" ref="A1:F11" tableType="queryTable" totalsRowShown="0">
  <autoFilter ref="A1:F11" xr:uid="{1B376A0F-C9C2-4BE1-A1C9-54F16B4EB75D}"/>
  <tableColumns count="6">
    <tableColumn id="1" xr3:uid="{DCDDBC20-D080-4917-BB3D-560A8A4FBC62}" uniqueName="1" name="deal_id" queryTableFieldId="1" dataDxfId="1"/>
    <tableColumn id="2" xr3:uid="{FF30AD63-FDCE-42A7-99CA-B677C69F8F0C}" uniqueName="2" name="project_item" queryTableFieldId="2"/>
    <tableColumn id="3" xr3:uid="{909C88DB-2F5B-4D76-8F10-41269000C8FF}" uniqueName="3" name="years" queryTableFieldId="3"/>
    <tableColumn id="4" xr3:uid="{60F07409-8C29-4393-857F-78C94175E768}" uniqueName="4" name="costs" queryTableFieldId="4"/>
    <tableColumn id="5" xr3:uid="{9B7B60B5-8CA9-4E2F-B1AA-E073918B3023}" uniqueName="5" name="revenue" queryTableFieldId="5"/>
    <tableColumn id="6" xr3:uid="{9F7B8C79-4EF1-4E8E-A594-04BCA94CFF06}" uniqueName="6" name="present_value" queryTableFieldId="6" dataDxfId="0">
      <calculatedColumnFormula>deal_example[[#This Row],[revenue]]*EXP($I$1*(-deal_example[[#This Row],[years]])) - deal_example[[#This Row],[costs]]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B31F9-062E-4B6D-945B-E27E2AEE6290}">
  <sheetPr codeName="Sheet9"/>
  <dimension ref="A1:L11"/>
  <sheetViews>
    <sheetView tabSelected="1" topLeftCell="F1" workbookViewId="0">
      <selection activeCell="I4" sqref="I4"/>
    </sheetView>
  </sheetViews>
  <sheetFormatPr defaultRowHeight="14.5" x14ac:dyDescent="0.35"/>
  <cols>
    <col min="1" max="1" width="9.54296875" bestFit="1" customWidth="1"/>
    <col min="2" max="2" width="14.1796875" bestFit="1" customWidth="1"/>
    <col min="3" max="3" width="7.7265625" bestFit="1" customWidth="1"/>
    <col min="4" max="4" width="7.453125" bestFit="1" customWidth="1"/>
    <col min="5" max="5" width="10.36328125" bestFit="1" customWidth="1"/>
    <col min="6" max="6" width="16.90625" bestFit="1" customWidth="1"/>
    <col min="8" max="8" width="17.54296875" bestFit="1" customWidth="1"/>
    <col min="9" max="9" width="7.363281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6</v>
      </c>
      <c r="H1" t="s">
        <v>5</v>
      </c>
      <c r="I1">
        <v>0.04</v>
      </c>
      <c r="K1" t="s">
        <v>9</v>
      </c>
      <c r="L1" t="str" cm="1">
        <f t="array" aca="1" ref="L1" ca="1">LEFT(CELL("filename",$A$1),FIND("[",CELL("filename",$A$1),1)-1)</f>
        <v>C:\Users\BSHALLOW\Documents\R\study\misc-repos\macro-shell-example\data-spreadsheet\</v>
      </c>
    </row>
    <row r="2" spans="1:12" x14ac:dyDescent="0.35">
      <c r="A2" s="4" t="s">
        <v>10</v>
      </c>
      <c r="B2">
        <v>1</v>
      </c>
      <c r="C2">
        <v>10</v>
      </c>
      <c r="D2">
        <v>1.7</v>
      </c>
      <c r="E2">
        <v>2.2000000000000002</v>
      </c>
      <c r="F2" s="5">
        <f>deal_example[[#This Row],[revenue]]*EXP($I$1*(-deal_example[[#This Row],[years]])) - deal_example[[#This Row],[costs]]</f>
        <v>-0.22529589872159339</v>
      </c>
      <c r="H2" t="s">
        <v>7</v>
      </c>
      <c r="I2" s="2">
        <f>SUM(deal_example[present_value])</f>
        <v>1.1368200190329161</v>
      </c>
    </row>
    <row r="3" spans="1:12" x14ac:dyDescent="0.35">
      <c r="A3" s="4" t="s">
        <v>10</v>
      </c>
      <c r="B3">
        <v>2</v>
      </c>
      <c r="C3">
        <v>2</v>
      </c>
      <c r="D3">
        <v>3.6</v>
      </c>
      <c r="E3">
        <v>4.0999999999999996</v>
      </c>
      <c r="F3" s="2">
        <f>deal_example[[#This Row],[revenue]]*EXP($I$1*(-deal_example[[#This Row],[years]])) - deal_example[[#This Row],[costs]]</f>
        <v>0.18477702018520636</v>
      </c>
    </row>
    <row r="4" spans="1:12" ht="29" x14ac:dyDescent="0.35">
      <c r="A4" s="4" t="s">
        <v>10</v>
      </c>
      <c r="B4">
        <v>3</v>
      </c>
      <c r="C4">
        <v>7</v>
      </c>
      <c r="D4">
        <v>2.2999999999999998</v>
      </c>
      <c r="E4">
        <v>2.6</v>
      </c>
      <c r="F4" s="2">
        <f>deal_example[[#This Row],[revenue]]*EXP($I$1*(-deal_example[[#This Row],[years]])) - deal_example[[#This Row],[costs]]</f>
        <v>-0.33496227221511354</v>
      </c>
      <c r="H4" s="3" t="s">
        <v>8</v>
      </c>
      <c r="I4">
        <v>1.1368200190329161</v>
      </c>
    </row>
    <row r="5" spans="1:12" x14ac:dyDescent="0.35">
      <c r="A5" s="4" t="s">
        <v>10</v>
      </c>
      <c r="B5">
        <v>4</v>
      </c>
      <c r="C5">
        <v>8</v>
      </c>
      <c r="D5">
        <v>0.9</v>
      </c>
      <c r="E5">
        <v>0.9</v>
      </c>
      <c r="F5" s="2">
        <f>deal_example[[#This Row],[revenue]]*EXP($I$1*(-deal_example[[#This Row],[years]])) - deal_example[[#This Row],[costs]]</f>
        <v>-0.2464658666336782</v>
      </c>
    </row>
    <row r="6" spans="1:12" x14ac:dyDescent="0.35">
      <c r="A6" s="4" t="s">
        <v>10</v>
      </c>
      <c r="B6">
        <v>5</v>
      </c>
      <c r="C6">
        <v>1</v>
      </c>
      <c r="D6">
        <v>2.7</v>
      </c>
      <c r="E6">
        <v>3.4</v>
      </c>
      <c r="F6" s="2">
        <f>deal_example[[#This Row],[revenue]]*EXP($I$1*(-deal_example[[#This Row],[years]])) - deal_example[[#This Row],[costs]]</f>
        <v>0.56668409311789869</v>
      </c>
    </row>
    <row r="7" spans="1:12" x14ac:dyDescent="0.35">
      <c r="A7" s="4" t="s">
        <v>10</v>
      </c>
      <c r="B7">
        <v>6</v>
      </c>
      <c r="C7">
        <v>10</v>
      </c>
      <c r="D7">
        <v>1.4</v>
      </c>
      <c r="E7">
        <v>3.7</v>
      </c>
      <c r="F7" s="2">
        <f>deal_example[[#This Row],[revenue]]*EXP($I$1*(-deal_example[[#This Row],[years]])) - deal_example[[#This Row],[costs]]</f>
        <v>1.0801841703318655</v>
      </c>
    </row>
    <row r="8" spans="1:12" x14ac:dyDescent="0.35">
      <c r="A8" s="4" t="s">
        <v>10</v>
      </c>
      <c r="B8">
        <v>7</v>
      </c>
      <c r="C8">
        <v>4</v>
      </c>
      <c r="D8">
        <v>3.6</v>
      </c>
      <c r="E8">
        <v>3.9</v>
      </c>
      <c r="F8" s="2">
        <f>deal_example[[#This Row],[revenue]]*EXP($I$1*(-deal_example[[#This Row],[years]])) - deal_example[[#This Row],[costs]]</f>
        <v>-0.27663922303177602</v>
      </c>
    </row>
    <row r="9" spans="1:12" x14ac:dyDescent="0.35">
      <c r="A9" s="4" t="s">
        <v>10</v>
      </c>
      <c r="B9">
        <v>8</v>
      </c>
      <c r="C9">
        <v>1</v>
      </c>
      <c r="D9">
        <v>0.9</v>
      </c>
      <c r="E9">
        <v>1.5</v>
      </c>
      <c r="F9" s="2">
        <f>deal_example[[#This Row],[revenue]]*EXP($I$1*(-deal_example[[#This Row],[years]])) - deal_example[[#This Row],[costs]]</f>
        <v>0.5411841587284848</v>
      </c>
    </row>
    <row r="10" spans="1:12" x14ac:dyDescent="0.35">
      <c r="A10" s="4" t="s">
        <v>10</v>
      </c>
      <c r="B10">
        <v>9</v>
      </c>
      <c r="C10">
        <v>8</v>
      </c>
      <c r="D10">
        <v>1.7</v>
      </c>
      <c r="E10">
        <v>2.8</v>
      </c>
      <c r="F10" s="2">
        <f>deal_example[[#This Row],[revenue]]*EXP($I$1*(-deal_example[[#This Row],[years]])) - deal_example[[#This Row],[costs]]</f>
        <v>0.33321730380633441</v>
      </c>
    </row>
    <row r="11" spans="1:12" x14ac:dyDescent="0.35">
      <c r="A11" s="4" t="s">
        <v>10</v>
      </c>
      <c r="B11">
        <v>10</v>
      </c>
      <c r="C11">
        <v>8</v>
      </c>
      <c r="D11">
        <v>3.1</v>
      </c>
      <c r="E11">
        <v>3.6</v>
      </c>
      <c r="F11" s="2">
        <f>deal_example[[#This Row],[revenue]]*EXP($I$1*(-deal_example[[#This Row],[years]])) - deal_example[[#This Row],[costs]]</f>
        <v>-0.4858634665347128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BE969C1-CCFF-44D6-8721-74F333992C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deal_calcs</vt:lpstr>
      <vt:lpstr>FilePath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Shalloway, Bryan</dc:creator>
  <cp:lastModifiedBy>Shalloway, Bryan</cp:lastModifiedBy>
  <dcterms:created xsi:type="dcterms:W3CDTF">2021-05-07T19:27:39Z</dcterms:created>
  <dcterms:modified xsi:type="dcterms:W3CDTF">2021-05-10T21:34:51Z</dcterms:modified>
</cp:coreProperties>
</file>